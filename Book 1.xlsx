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PP" sheetId="1" r:id="rId1"/>
    <sheet name="Planilha2" sheetId="2" r:id="rId2"/>
  </sheets>
  <definedNames>
    <definedName name="aporte">APP!$D$17:$D$17</definedName>
    <definedName name="qnt_anos">APP!$D$18:$D$18</definedName>
    <definedName name="rendiemnto_carteira">APP!$D$13:$D$13</definedName>
    <definedName name="rendimento_carteira">APP!$D$13:$D$13</definedName>
    <definedName name="salario">APP!$D$12:$D$12</definedName>
    <definedName name="sugestão_investimento">APP!$D$14:$D$14</definedName>
    <definedName name="taxa_mensal">APP!$D$19:$D$19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<sst xmlns="http://schemas.openxmlformats.org/spreadsheetml/2006/main" count="69" uniqueCount="33">
  <si>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CONFIGURAÇÕES</t>
  </si>
  <si>
    <t>Salário</t>
  </si>
  <si>
    <t>Redimento Carteira</t>
  </si>
  <si>
    <t>Sugestão de Investimento 30%</t>
  </si>
  <si>
    <t>INVESTIMENTO MENSAL</t>
  </si>
  <si>
    <t>Quanto investir por mês ?</t>
  </si>
  <si>
    <t>Por Quantos Anos ?</t>
  </si>
  <si>
    <t>Taxa de Redimento mensal ?</t>
  </si>
  <si>
    <t>Patrimônio acumulado ?</t>
  </si>
  <si>
    <t>Dividendos Mensais ?</t>
  </si>
  <si>
    <t>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</si>
  <si>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</si>
  <si>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</si>
  <si>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</si>
  <si>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</si>
  <si>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</si>
  <si>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</si>
  <si>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</si>
  <si>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</si>
  <si>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</si>
  <si>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</si>
  <si>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</t>
  </si>
  <si>
    <t>VALORES</t>
  </si>
  <si>
    <t>PAPEL</t>
  </si>
  <si>
    <t>TIJOLO</t>
  </si>
  <si>
    <t>HÍBRIDO</t>
  </si>
  <si>
    <t>FOFs</t>
  </si>
  <si>
    <t>DESENVOLVIMENTO</t>
  </si>
  <si>
    <t>HOTELARIAS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</si>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</sst>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;[Red]\-&quot;R$&quot;\ #,##0.00"/>
  </numFmts>
  <fonts count="28">
    <font>
      <sz val="11"/>
      <color theme="1"/>
      <name val="Calibri"/>
      <charset val="134"/>
      <scheme val="minor"/>
    </font>
    <font>
      <sz val="11"/>
      <color rgb="FF000000"/>
      <name val="Calibri"/>
      <charset val="1"/>
    </font>
    <font>
      <sz val="20"/>
      <color rgb="FFFFFFFF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4"/>
      <color rgb="FFFFFFFF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thin">
        <color theme="2" tint="-0.0999786370433668"/>
      </bottom>
      <diagonal/>
    </border>
    <border>
      <left/>
      <right/>
      <top/>
      <bottom style="thin">
        <color theme="2" tint="-0.0999786370433668"/>
      </bottom>
      <diagonal/>
    </border>
    <border>
      <left/>
      <right style="medium">
        <color theme="1"/>
      </right>
      <top style="thin">
        <color theme="2" tint="-0.0999786370433668"/>
      </top>
      <bottom/>
      <diagonal/>
    </border>
    <border>
      <left/>
      <right style="medium">
        <color theme="1"/>
      </right>
      <top style="thin">
        <color theme="2" tint="-0.0999786370433668"/>
      </top>
      <bottom style="thin">
        <color theme="2" tint="-0.0999786370433668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 style="medium">
        <color theme="1"/>
      </right>
      <top/>
      <bottom style="medium">
        <color theme="2"/>
      </bottom>
      <diagonal/>
    </border>
    <border>
      <left style="medium">
        <color theme="1"/>
      </left>
      <right/>
      <top style="thin">
        <color theme="2" tint="-0.0999786370433668"/>
      </top>
      <bottom style="medium">
        <color theme="2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 style="medium">
        <color theme="2"/>
      </bottom>
      <diagonal/>
    </border>
    <border>
      <left/>
      <right style="medium">
        <color theme="1"/>
      </right>
      <top/>
      <bottom style="thin">
        <color theme="2" tint="-0.0999786370433668"/>
      </bottom>
      <diagonal/>
    </border>
    <border>
      <left style="medium">
        <color theme="1"/>
      </left>
      <right/>
      <top style="medium">
        <color theme="2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 style="medium">
        <color theme="2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thin">
        <color theme="2" tint="-0.0999786370433668"/>
      </bottom>
      <diagonal/>
    </border>
    <border>
      <left style="thin">
        <color theme="2" tint="-0.0999786370433668"/>
      </left>
      <right style="medium">
        <color theme="1"/>
      </right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/>
      <bottom style="medium">
        <color theme="1"/>
      </bottom>
      <diagonal/>
    </border>
    <border>
      <left style="thin">
        <color theme="2" tint="-0.0999786370433668"/>
      </left>
      <right style="medium">
        <color theme="1"/>
      </right>
      <top style="thin">
        <color theme="2" tint="-0.0999786370433668"/>
      </top>
      <bottom style="medium">
        <color theme="1"/>
      </bottom>
      <diagonal/>
    </border>
    <border>
      <left style="thin">
        <color theme="2" tint="-0.0999786370433668"/>
      </left>
      <right style="medium">
        <color theme="1"/>
      </right>
      <top style="medium">
        <color theme="1"/>
      </top>
      <bottom/>
      <diagonal/>
    </border>
    <border>
      <left style="medium">
        <color theme="0" tint="-0.0499893185216834"/>
      </left>
      <right/>
      <top style="medium">
        <color theme="0" tint="-0.0499893185216834"/>
      </top>
      <bottom style="thin">
        <color theme="2" tint="-0.0999786370433668"/>
      </bottom>
      <diagonal/>
    </border>
    <border>
      <left style="thin">
        <color theme="2" tint="-0.0999786370433668"/>
      </left>
      <right style="medium">
        <color theme="1"/>
      </right>
      <top/>
      <bottom style="thin">
        <color theme="2" tint="-0.0999786370433668"/>
      </bottom>
      <diagonal/>
    </border>
    <border>
      <left style="medium">
        <color theme="0" tint="-0.0499893185216834"/>
      </left>
      <right/>
      <top/>
      <bottom style="thin">
        <color theme="2" tint="-0.0999786370433668"/>
      </bottom>
      <diagonal/>
    </border>
    <border>
      <left style="medium">
        <color theme="1"/>
      </left>
      <right style="thin">
        <color theme="0" tint="-0.0499893185216834"/>
      </right>
      <top/>
      <bottom style="medium">
        <color theme="1"/>
      </bottom>
      <diagonal/>
    </border>
    <border>
      <left style="thin">
        <color theme="0" tint="-0.0499893185216834"/>
      </left>
      <right/>
      <top/>
      <bottom style="medium">
        <color theme="1"/>
      </bottom>
      <diagonal/>
    </border>
    <border>
      <left style="thin">
        <color theme="2" tint="-0.0999786370433668"/>
      </left>
      <right style="medium">
        <color theme="1"/>
      </right>
      <top/>
      <bottom style="medium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3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2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34" applyNumberFormat="0" applyAlignment="0" applyProtection="0">
      <alignment vertical="center"/>
    </xf>
    <xf numFmtId="0" fontId="18" fillId="8" borderId="35" applyNumberFormat="0" applyAlignment="0" applyProtection="0">
      <alignment vertical="center"/>
    </xf>
    <xf numFmtId="0" fontId="19" fillId="8" borderId="34" applyNumberFormat="0" applyAlignment="0" applyProtection="0">
      <alignment vertical="center"/>
    </xf>
    <xf numFmtId="0" fontId="20" fillId="9" borderId="36" applyNumberFormat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1" xfId="0" applyBorder="1"/>
    <xf numFmtId="0" fontId="1" fillId="0" borderId="1" xfId="0" applyFont="1" applyBorder="1"/>
    <xf numFmtId="9" fontId="0" fillId="0" borderId="1" xfId="0" applyNumberFormat="1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top"/>
    </xf>
    <xf numFmtId="0" fontId="3" fillId="3" borderId="6" xfId="0" applyFont="1" applyFill="1" applyBorder="1" applyAlignment="1">
      <alignment horizontal="left" vertical="top"/>
    </xf>
    <xf numFmtId="180" fontId="3" fillId="0" borderId="7" xfId="0" applyNumberFormat="1" applyFont="1" applyBorder="1" applyAlignment="1">
      <alignment horizontal="center"/>
    </xf>
    <xf numFmtId="0" fontId="3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180" fontId="3" fillId="0" borderId="11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180" fontId="3" fillId="0" borderId="14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4" fillId="3" borderId="20" xfId="0" applyFont="1" applyFill="1" applyBorder="1" applyAlignment="1">
      <alignment horizontal="left"/>
    </xf>
    <xf numFmtId="180" fontId="3" fillId="3" borderId="21" xfId="0" applyNumberFormat="1" applyFont="1" applyFill="1" applyBorder="1" applyAlignment="1">
      <alignment horizontal="center"/>
    </xf>
    <xf numFmtId="0" fontId="4" fillId="3" borderId="9" xfId="0" applyFont="1" applyFill="1" applyBorder="1" applyAlignment="1">
      <alignment horizontal="left"/>
    </xf>
    <xf numFmtId="0" fontId="4" fillId="3" borderId="22" xfId="0" applyFont="1" applyFill="1" applyBorder="1" applyAlignment="1">
      <alignment horizontal="left"/>
    </xf>
    <xf numFmtId="180" fontId="3" fillId="3" borderId="23" xfId="0" applyNumberFormat="1" applyFont="1" applyFill="1" applyBorder="1" applyAlignment="1">
      <alignment horizontal="center"/>
    </xf>
    <xf numFmtId="0" fontId="5" fillId="4" borderId="24" xfId="0" applyFont="1" applyFill="1" applyBorder="1" applyAlignment="1">
      <alignment horizontal="left" vertical="center" wrapText="1"/>
    </xf>
    <xf numFmtId="0" fontId="3" fillId="3" borderId="5" xfId="0" applyFont="1" applyFill="1" applyBorder="1"/>
    <xf numFmtId="180" fontId="3" fillId="3" borderId="25" xfId="0" applyNumberFormat="1" applyFont="1" applyFill="1" applyBorder="1" applyAlignment="1">
      <alignment horizontal="center"/>
    </xf>
    <xf numFmtId="180" fontId="3" fillId="3" borderId="26" xfId="0" applyNumberFormat="1" applyFont="1" applyFill="1" applyBorder="1" applyAlignment="1">
      <alignment horizontal="center"/>
    </xf>
    <xf numFmtId="180" fontId="3" fillId="3" borderId="27" xfId="0" applyNumberFormat="1" applyFont="1" applyFill="1" applyBorder="1" applyAlignment="1">
      <alignment horizontal="center"/>
    </xf>
    <xf numFmtId="0" fontId="6" fillId="0" borderId="0" xfId="0" applyFont="1"/>
    <xf numFmtId="0" fontId="3" fillId="3" borderId="28" xfId="0" applyFont="1" applyFill="1" applyBorder="1"/>
    <xf numFmtId="180" fontId="3" fillId="3" borderId="29" xfId="0" applyNumberFormat="1" applyFont="1" applyFill="1" applyBorder="1" applyAlignment="1">
      <alignment horizontal="center"/>
    </xf>
    <xf numFmtId="180" fontId="3" fillId="3" borderId="30" xfId="0" applyNumberFormat="1" applyFont="1" applyFill="1" applyBorder="1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4" fillId="3" borderId="0" xfId="0" applyFont="1" applyFill="1"/>
    <xf numFmtId="180" fontId="4" fillId="3" borderId="0" xfId="0" applyNumberFormat="1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0" borderId="0" xfId="0" applyFont="1"/>
    <xf numFmtId="9" fontId="3" fillId="0" borderId="0" xfId="0" applyNumberFormat="1" applyFont="1" applyAlignment="1">
      <alignment horizontal="center"/>
    </xf>
    <xf numFmtId="180" fontId="3" fillId="3" borderId="0" xfId="0" applyNumberFormat="1" applyFont="1" applyFill="1" applyAlignment="1">
      <alignment horizontal="center"/>
    </xf>
    <xf numFmtId="0" fontId="4" fillId="5" borderId="0" xfId="0" applyFont="1" applyFill="1"/>
    <xf numFmtId="180" fontId="4" fillId="5" borderId="0" xfId="0" applyNumberFormat="1" applyFont="1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Medium9"/>
  <colors>
    <mruColors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rgbClr val="3A96DD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4a7948-3ab1-4ac4-9afe-caf74813afe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4</xdr:col>
      <xdr:colOff>371475</xdr:colOff>
      <xdr:row>9</xdr:row>
      <xdr:rowOff>0</xdr:rowOff>
    </xdr:to>
    <xdr:pic>
      <xdr:nvPicPr>
        <xdr:cNvPr id="2" name="Imagem 1"/>
        <xdr:cNvPicPr>
          <a:picLocks noChangeAspect="1"/>
        </xdr:cNvPicPr>
      </xdr:nvPicPr>
      <xdr:blipFill>
        <a:blip r:embed="rId2"/>
        <a:srcRect t="1270" r="833" b="7619"/>
        <a:stretch>
          <a:fillRect/>
        </a:stretch>
      </xdr:blipFill>
      <xdr:spPr>
        <a:xfrm>
          <a:off x="142875" y="38100"/>
          <a:ext cx="6204585" cy="1607820"/>
        </a:xfrm>
        <a:prstGeom prst="rect">
          <a:avLst/>
        </a:prstGeom>
      </xdr:spPr>
    </xdr:pic>
    <xdr:clientData/>
  </xdr:twoCellAnchor>
  <xdr:twoCellAnchor>
    <xdr:from>
      <xdr:col>1</xdr:col>
      <xdr:colOff>342900</xdr:colOff>
      <xdr:row>42</xdr:row>
      <xdr:rowOff>152400</xdr:rowOff>
    </xdr:from>
    <xdr:to>
      <xdr:col>2</xdr:col>
      <xdr:colOff>1504950</xdr:colOff>
      <xdr:row>57</xdr:row>
      <xdr:rowOff>38100</xdr:rowOff>
    </xdr:to>
    <xdr:graphicFrame>
      <xdr:nvGraphicFramePr>
        <xdr:cNvPr id="3" name="Gráfico 2"/>
        <xdr:cNvGraphicFramePr/>
      </xdr:nvGraphicFramePr>
      <xdr:xfrm>
        <a:off x="754380" y="8778240"/>
        <a:ext cx="3876040" cy="2628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D40"/>
  <sheetViews>
    <sheetView showGridLines="0" showRowColHeaders="0" tabSelected="1" topLeftCell="A28" workbookViewId="0">
      <selection activeCell="C30" sqref="C30:D30"/>
    </sheetView>
  </sheetViews>
  <sheetFormatPr defaultColWidth="0" defaultRowHeight="14.4" outlineLevelCol="3"/>
  <cols>
    <col min="1" max="1" width="6" customWidth="1"/>
    <col min="2" max="2" width="39.5740740740741" customWidth="1"/>
    <col min="3" max="3" width="26.8518518518519" customWidth="1"/>
    <col min="4" max="4" width="14.712962962963" customWidth="1"/>
    <col min="5" max="5" width="9.57407407407407" customWidth="1"/>
    <col min="6" max="6" width="3.71296296296296" customWidth="1"/>
    <col min="7" max="7" width="2.57407407407407" customWidth="1"/>
    <col min="8" max="10" width="9.13888888888889" hidden="1" customWidth="1"/>
  </cols>
  <sheetData>
    <row r="10" ht="15.15"/>
    <row r="11" ht="25.8" spans="2:4">
      <c r="B11" s="6" t="s">
        <v>0</v>
      </c>
      <c r="C11" s="7"/>
      <c r="D11" s="8"/>
    </row>
    <row r="12" ht="15.6" spans="2:4">
      <c r="B12" s="9" t="s">
        <v>1</v>
      </c>
      <c r="C12" s="10"/>
      <c r="D12" s="11">
        <v>2000</v>
      </c>
    </row>
    <row r="13" ht="16.5" customHeight="1" spans="2:4">
      <c r="B13" s="12" t="s">
        <v>2</v>
      </c>
      <c r="C13" s="13"/>
      <c r="D13" s="14">
        <v>0.006</v>
      </c>
    </row>
    <row r="14" ht="15.75" customHeight="1" spans="2:4">
      <c r="B14" s="15" t="s">
        <v>3</v>
      </c>
      <c r="C14" s="16"/>
      <c r="D14" s="17">
        <f>D12*30%</f>
        <v>600</v>
      </c>
    </row>
    <row r="15" ht="15.15"/>
    <row r="16" ht="26.55" spans="2:4">
      <c r="B16" s="18" t="s">
        <v>4</v>
      </c>
      <c r="C16" s="19"/>
      <c r="D16" s="20"/>
    </row>
    <row r="17" ht="16.35" spans="2:4">
      <c r="B17" s="21" t="s">
        <v>5</v>
      </c>
      <c r="C17" s="22"/>
      <c r="D17" s="23">
        <v>200</v>
      </c>
    </row>
    <row r="18" ht="16.35" spans="2:4">
      <c r="B18" s="24" t="s">
        <v>6</v>
      </c>
      <c r="C18" s="25"/>
      <c r="D18" s="26">
        <v>5</v>
      </c>
    </row>
    <row r="19" ht="13.5" customHeight="1" spans="2:4">
      <c r="B19" s="27" t="s">
        <v>7</v>
      </c>
      <c r="C19" s="28"/>
      <c r="D19" s="14">
        <v>0.01079</v>
      </c>
    </row>
    <row r="20" ht="15.6" spans="2:4">
      <c r="B20" s="29" t="s">
        <v>8</v>
      </c>
      <c r="C20" s="30"/>
      <c r="D20" s="31">
        <f>FV(D19,D18*12,D17*-1)</f>
        <v>16755.3827996975</v>
      </c>
    </row>
    <row r="21" ht="18" customHeight="1" spans="2:4">
      <c r="B21" s="32" t="s">
        <v>9</v>
      </c>
      <c r="C21" s="33"/>
      <c r="D21" s="34">
        <f>D20*1%</f>
        <v>167.553827996975</v>
      </c>
    </row>
    <row r="22" ht="18.75" customHeight="1"/>
    <row r="23" ht="26.55" spans="2:4">
      <c r="B23" s="18" t="s">
        <v>10</v>
      </c>
      <c r="C23" s="19"/>
      <c r="D23" s="35" t="s">
        <v>11</v>
      </c>
    </row>
    <row r="24" ht="15.6" spans="2:4">
      <c r="B24" s="36" t="s">
        <v>12</v>
      </c>
      <c r="C24" s="37">
        <f>FV($D$19,$A27*12,$D$17*-1)</f>
        <v>5445.52545952903</v>
      </c>
      <c r="D24" s="38">
        <f>C24*$D$13</f>
        <v>32.6731527571742</v>
      </c>
    </row>
    <row r="25" ht="15.6" spans="2:4">
      <c r="B25" s="36" t="s">
        <v>13</v>
      </c>
      <c r="C25" s="39">
        <f>FV($D$19,$A28*12,$D$17*-1)</f>
        <v>16755.3827996975</v>
      </c>
      <c r="D25" s="38">
        <f>C25*$D$13</f>
        <v>100.532296798185</v>
      </c>
    </row>
    <row r="26" ht="17.25" customHeight="1" spans="2:4">
      <c r="B26" s="36" t="s">
        <v>14</v>
      </c>
      <c r="C26" s="39">
        <f>FV($D$19,$A29*12,$D$17*-1)</f>
        <v>48656.8425060342</v>
      </c>
      <c r="D26" s="38">
        <f>C26*$D$13</f>
        <v>291.941055036205</v>
      </c>
    </row>
    <row r="27" ht="15.6" spans="1:4">
      <c r="A27" s="40">
        <v>2</v>
      </c>
      <c r="B27" s="36" t="s">
        <v>15</v>
      </c>
      <c r="C27" s="39">
        <f>FV($D$19,$A30*12,$D$17*-1)</f>
        <v>225039.680019415</v>
      </c>
      <c r="D27" s="38">
        <f>C27*$D$13</f>
        <v>1350.23808011649</v>
      </c>
    </row>
    <row r="28" ht="16.35" spans="1:4">
      <c r="A28" s="40">
        <v>5</v>
      </c>
      <c r="B28" s="41" t="s">
        <v>16</v>
      </c>
      <c r="C28" s="42">
        <f>FV($D$19,$A31*12,$D$17*-1)</f>
        <v>864433.931000934</v>
      </c>
      <c r="D28" s="43">
        <f>C28*$D$13</f>
        <v>5186.60358600561</v>
      </c>
    </row>
    <row r="29" spans="1:1">
      <c r="A29" s="40">
        <v>10</v>
      </c>
    </row>
    <row r="30" ht="15.6" spans="1:4">
      <c r="A30" s="40">
        <v>20</v>
      </c>
      <c r="B30" s="44" t="s">
        <v>17</v>
      </c>
      <c r="C30" s="45" t="s">
        <v>18</v>
      </c>
      <c r="D30" s="45"/>
    </row>
    <row r="31" ht="15.6" spans="1:4">
      <c r="A31" s="40">
        <v>30</v>
      </c>
      <c r="B31" s="46" t="s">
        <v>19</v>
      </c>
      <c r="C31" s="47">
        <f>D17</f>
        <v>200</v>
      </c>
      <c r="D31" s="47"/>
    </row>
    <row r="33" ht="15.6" spans="2:4">
      <c r="B33" s="48" t="s">
        <v>20</v>
      </c>
      <c r="C33" s="49" t="s">
        <v>21</v>
      </c>
      <c r="D33" s="48" t="s">
        <v>22</v>
      </c>
    </row>
    <row r="34" ht="15.6" spans="2:4">
      <c r="B34" s="50" t="s">
        <v>23</v>
      </c>
      <c r="C34" s="51">
        <f>VLOOKUP($C$30&amp;"-"&amp;B34,Planilha2!$A:$D,4,FALSE)</f>
        <v>0.32</v>
      </c>
      <c r="D34" s="52">
        <f t="shared" ref="D34:D39" si="0">C34*$C$31</f>
        <v>64</v>
      </c>
    </row>
    <row r="35" ht="15.6" spans="2:4">
      <c r="B35" s="50" t="s">
        <v>24</v>
      </c>
      <c r="C35" s="51">
        <f>VLOOKUP($C$30&amp;"-"&amp;B35,Planilha2!$A:$D,4,FALSE)</f>
        <v>0.35</v>
      </c>
      <c r="D35" s="52">
        <f t="shared" si="0"/>
        <v>70</v>
      </c>
    </row>
    <row r="36" ht="15.6" spans="2:4">
      <c r="B36" s="50" t="s">
        <v>25</v>
      </c>
      <c r="C36" s="51">
        <f>VLOOKUP($C$30&amp;"-"&amp;B36,Planilha2!$A:$D,4,FALSE)</f>
        <v>0.08</v>
      </c>
      <c r="D36" s="52">
        <f t="shared" si="0"/>
        <v>16</v>
      </c>
    </row>
    <row r="37" ht="15.6" spans="2:4">
      <c r="B37" s="50" t="s">
        <v>26</v>
      </c>
      <c r="C37" s="51">
        <f>VLOOKUP($C$30&amp;"-"&amp;B37,Planilha2!$A:$D,4,FALSE)</f>
        <v>0.05</v>
      </c>
      <c r="D37" s="52">
        <f t="shared" si="0"/>
        <v>10</v>
      </c>
    </row>
    <row r="38" ht="15.6" spans="2:4">
      <c r="B38" s="50" t="s">
        <v>27</v>
      </c>
      <c r="C38" s="51">
        <f>VLOOKUP($C$30&amp;"-"&amp;B38,Planilha2!$A:$D,4,FALSE)</f>
        <v>0.1</v>
      </c>
      <c r="D38" s="52">
        <f t="shared" si="0"/>
        <v>20</v>
      </c>
    </row>
    <row r="39" ht="15.6" spans="2:4">
      <c r="B39" s="50" t="s">
        <v>28</v>
      </c>
      <c r="C39" s="51">
        <f>VLOOKUP($C$30&amp;"-"&amp;B39,Planilha2!$A:$D,4,FALSE)</f>
        <v>0.1</v>
      </c>
      <c r="D39" s="52">
        <f t="shared" si="0"/>
        <v>20</v>
      </c>
    </row>
    <row r="40" ht="15.6" spans="2:4">
      <c r="B40" s="53"/>
      <c r="C40" s="53"/>
      <c r="D40" s="54">
        <f>SUM(D34:D39)</f>
        <v>200</v>
      </c>
    </row>
  </sheetData>
  <mergeCells count="13">
    <mergeCell ref="B11:D11"/>
    <mergeCell ref="B12:C12"/>
    <mergeCell ref="B13:C13"/>
    <mergeCell ref="B14:C14"/>
    <mergeCell ref="B16:D16"/>
    <mergeCell ref="B17:C17"/>
    <mergeCell ref="B18:C18"/>
    <mergeCell ref="B19:C19"/>
    <mergeCell ref="B20:C20"/>
    <mergeCell ref="B21:C21"/>
    <mergeCell ref="B23:C23"/>
    <mergeCell ref="C30:D30"/>
    <mergeCell ref="C31:D31"/>
  </mergeCells>
  <dataValidations count="1">
    <dataValidation type="list" allowBlank="1" showInputMessage="1" showErrorMessage="1" sqref="C30">
      <formula1>"CONSERVADOR, MODERADO, AGRESSIVO"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workbookViewId="0">
      <selection activeCell="D13" sqref="D13"/>
    </sheetView>
  </sheetViews>
  <sheetFormatPr defaultColWidth="9" defaultRowHeight="14.4" outlineLevelCol="3"/>
  <cols>
    <col min="1" max="1" width="34.5740740740741" customWidth="1"/>
    <col min="2" max="2" width="14.287037037037" customWidth="1"/>
    <col min="3" max="3" width="19.287037037037" customWidth="1"/>
  </cols>
  <sheetData>
    <row r="2" spans="1:4">
      <c r="A2" t="s">
        <v>29</v>
      </c>
      <c r="B2" t="s">
        <v>17</v>
      </c>
      <c r="C2" t="s">
        <v>20</v>
      </c>
      <c r="D2" t="s">
        <v>30</v>
      </c>
    </row>
    <row r="3" spans="1:4">
      <c r="A3" t="str">
        <f>B3&amp;"-"&amp;C3</f>
        <v>CONSERVADOR-PAPEL</v>
      </c>
      <c r="B3" s="1" t="s">
        <v>31</v>
      </c>
      <c r="C3" t="s">
        <v>23</v>
      </c>
      <c r="D3" s="2">
        <v>0.3</v>
      </c>
    </row>
    <row r="4" spans="1:4">
      <c r="A4" t="str">
        <f t="shared" ref="A4:A8" si="0">B4&amp;"-"&amp;C4</f>
        <v>CONSERVADOR-TIJOLO</v>
      </c>
      <c r="B4" s="1" t="s">
        <v>31</v>
      </c>
      <c r="C4" t="s">
        <v>24</v>
      </c>
      <c r="D4" s="2">
        <v>0.5</v>
      </c>
    </row>
    <row r="5" spans="1:4">
      <c r="A5" t="str">
        <f t="shared" si="0"/>
        <v>CONSERVADOR-HÍBRIDO</v>
      </c>
      <c r="B5" s="1" t="s">
        <v>31</v>
      </c>
      <c r="C5" t="s">
        <v>25</v>
      </c>
      <c r="D5" s="2">
        <v>0.1</v>
      </c>
    </row>
    <row r="6" spans="1:4">
      <c r="A6" t="str">
        <f t="shared" si="0"/>
        <v>CONSERVADOR-FOFs</v>
      </c>
      <c r="B6" s="1" t="s">
        <v>31</v>
      </c>
      <c r="C6" t="s">
        <v>26</v>
      </c>
      <c r="D6" s="2">
        <v>0.1</v>
      </c>
    </row>
    <row r="7" spans="1:4">
      <c r="A7" t="str">
        <f t="shared" si="0"/>
        <v>CONSERVADOR-DESENVOLVIMENTO</v>
      </c>
      <c r="B7" s="1" t="s">
        <v>31</v>
      </c>
      <c r="C7" t="s">
        <v>27</v>
      </c>
      <c r="D7">
        <v>0</v>
      </c>
    </row>
    <row r="8" spans="1:4">
      <c r="A8" s="3" t="str">
        <f t="shared" si="0"/>
        <v>CONSERVADOR-HOTELARIAS</v>
      </c>
      <c r="B8" s="4" t="s">
        <v>31</v>
      </c>
      <c r="C8" s="3" t="s">
        <v>28</v>
      </c>
      <c r="D8" s="3">
        <v>0</v>
      </c>
    </row>
    <row r="9" spans="1:4">
      <c r="A9" s="3" t="str">
        <f t="shared" ref="A9:A20" si="1">B9&amp;"-"&amp;C9</f>
        <v>MODERADO-PAPEL</v>
      </c>
      <c r="B9" t="s">
        <v>18</v>
      </c>
      <c r="C9" t="s">
        <v>23</v>
      </c>
      <c r="D9" s="2">
        <v>0.32</v>
      </c>
    </row>
    <row r="10" spans="1:4">
      <c r="A10" s="3" t="str">
        <f t="shared" si="1"/>
        <v>MODERADO-TIJOLO</v>
      </c>
      <c r="B10" t="s">
        <v>18</v>
      </c>
      <c r="C10" t="s">
        <v>24</v>
      </c>
      <c r="D10" s="2">
        <v>0.35</v>
      </c>
    </row>
    <row r="11" spans="1:4">
      <c r="A11" s="3" t="str">
        <f t="shared" si="1"/>
        <v>MODERADO-HÍBRIDO</v>
      </c>
      <c r="B11" t="s">
        <v>18</v>
      </c>
      <c r="C11" t="s">
        <v>25</v>
      </c>
      <c r="D11" s="2">
        <v>0.08</v>
      </c>
    </row>
    <row r="12" spans="1:4">
      <c r="A12" s="3" t="str">
        <f t="shared" si="1"/>
        <v>MODERADO-FOFs</v>
      </c>
      <c r="B12" t="s">
        <v>18</v>
      </c>
      <c r="C12" t="s">
        <v>26</v>
      </c>
      <c r="D12" s="2">
        <v>0.05</v>
      </c>
    </row>
    <row r="13" spans="1:4">
      <c r="A13" s="3" t="str">
        <f t="shared" si="1"/>
        <v>MODERADO-DESENVOLVIMENTO</v>
      </c>
      <c r="B13" t="s">
        <v>18</v>
      </c>
      <c r="C13" t="s">
        <v>27</v>
      </c>
      <c r="D13" s="2">
        <v>0.1</v>
      </c>
    </row>
    <row r="14" spans="1:4">
      <c r="A14" s="3" t="str">
        <f t="shared" si="1"/>
        <v>MODERADO-HOTELARIAS</v>
      </c>
      <c r="B14" s="3" t="s">
        <v>18</v>
      </c>
      <c r="C14" s="3" t="s">
        <v>28</v>
      </c>
      <c r="D14" s="5">
        <v>0.1</v>
      </c>
    </row>
    <row r="15" spans="1:4">
      <c r="A15" s="3" t="str">
        <f t="shared" si="1"/>
        <v>AGRESSIVO-PAPEL</v>
      </c>
      <c r="B15" t="s">
        <v>32</v>
      </c>
      <c r="C15" t="s">
        <v>23</v>
      </c>
      <c r="D15" s="2">
        <v>0.5</v>
      </c>
    </row>
    <row r="16" spans="1:4">
      <c r="A16" s="3" t="str">
        <f t="shared" si="1"/>
        <v>AGRESSIVO-TIJOLO</v>
      </c>
      <c r="B16" t="s">
        <v>32</v>
      </c>
      <c r="C16" t="s">
        <v>24</v>
      </c>
      <c r="D16" s="2">
        <v>0.1</v>
      </c>
    </row>
    <row r="17" spans="1:4">
      <c r="A17" s="3" t="str">
        <f t="shared" si="1"/>
        <v>AGRESSIVO-HÍBRIDO</v>
      </c>
      <c r="B17" t="s">
        <v>32</v>
      </c>
      <c r="C17" t="s">
        <v>25</v>
      </c>
      <c r="D17" s="2">
        <v>0.05</v>
      </c>
    </row>
    <row r="18" spans="1:4">
      <c r="A18" s="3" t="str">
        <f t="shared" si="1"/>
        <v>AGRESSIVO-FOFs</v>
      </c>
      <c r="B18" t="s">
        <v>32</v>
      </c>
      <c r="C18" t="s">
        <v>26</v>
      </c>
      <c r="D18" s="2">
        <v>0.05</v>
      </c>
    </row>
    <row r="19" spans="1:4">
      <c r="A19" s="3" t="str">
        <f t="shared" si="1"/>
        <v>AGRESSIVO-DESENVOLVIMENTO</v>
      </c>
      <c r="B19" t="s">
        <v>32</v>
      </c>
      <c r="C19" t="s">
        <v>27</v>
      </c>
      <c r="D19" s="2">
        <v>0.2</v>
      </c>
    </row>
    <row r="20" spans="1:4">
      <c r="A20" s="3" t="str">
        <f t="shared" si="1"/>
        <v>AGRESSIVO-HOTELARIAS</v>
      </c>
      <c r="B20" t="s">
        <v>32</v>
      </c>
      <c r="C20" t="s">
        <v>28</v>
      </c>
      <c r="D20" s="2">
        <v>0.1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A C</cp:lastModifiedBy>
  <dcterms:created xsi:type="dcterms:W3CDTF">2026-01-06T15:20:00Z</dcterms:created>
  <dcterms:modified xsi:type="dcterms:W3CDTF">2026-01-07T13:38:37Z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3DB8D9F1A88E4B5E80F24947FC6782E2_12</vt:lpwstr>
  </property>
  <property fmtid="{D5CDD505-2E9C-101B-9397-08002B2CF9AE}" pid="3" name="KSOProductBuildVer">
    <vt:lpwstr>1046-12.2.0.23196</vt:lpwstr>
  </property>
</Properties>
</file>